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089383\Aplicativos\teg_financ\documento\"/>
    </mc:Choice>
  </mc:AlternateContent>
  <xr:revisionPtr revIDLastSave="0" documentId="8_{3CFF5683-4A4D-4437-8ED3-437BEC49CB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 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G44" i="1"/>
  <c r="G36" i="1"/>
</calcChain>
</file>

<file path=xl/sharedStrings.xml><?xml version="1.0" encoding="utf-8"?>
<sst xmlns="http://schemas.openxmlformats.org/spreadsheetml/2006/main" count="105" uniqueCount="68">
  <si>
    <r>
      <rPr>
        <sz val="7.5"/>
        <rFont val="Calibri"/>
        <family val="1"/>
      </rPr>
      <t>Os valores Vigentes no Programa TEG foram Calculados em Maio de 2024</t>
    </r>
  </si>
  <si>
    <r>
      <rPr>
        <b/>
        <sz val="10"/>
        <rFont val="Calibri"/>
        <family val="1"/>
      </rPr>
      <t>ANEXO I</t>
    </r>
  </si>
  <si>
    <r>
      <rPr>
        <sz val="9.5"/>
        <rFont val="Calibri"/>
        <family val="1"/>
      </rPr>
      <t>Fator de Correção IPC/FIPE:</t>
    </r>
  </si>
  <si>
    <r>
      <rPr>
        <b/>
        <sz val="9.5"/>
        <rFont val="Calibri"/>
        <family val="1"/>
      </rPr>
      <t>Junho 2024 a Abril /2025</t>
    </r>
  </si>
  <si>
    <r>
      <rPr>
        <sz val="9.5"/>
        <rFont val="Calibri"/>
        <family val="1"/>
      </rPr>
      <t>Fator:</t>
    </r>
  </si>
  <si>
    <r>
      <rPr>
        <b/>
        <sz val="9.5"/>
        <rFont val="Calibri"/>
        <family val="1"/>
      </rPr>
      <t>Tabela 1 - Remuneração de veículo convencional TEG Regular</t>
    </r>
  </si>
  <si>
    <r>
      <rPr>
        <b/>
        <sz val="9.5"/>
        <rFont val="Calibri"/>
        <family val="1"/>
      </rPr>
      <t>Condição</t>
    </r>
  </si>
  <si>
    <r>
      <rPr>
        <b/>
        <sz val="9.5"/>
        <rFont val="Calibri"/>
        <family val="1"/>
      </rPr>
      <t>Fixo</t>
    </r>
  </si>
  <si>
    <r>
      <rPr>
        <b/>
        <sz val="9.5"/>
        <rFont val="Calibri"/>
        <family val="1"/>
      </rPr>
      <t>Percapita</t>
    </r>
  </si>
  <si>
    <r>
      <rPr>
        <sz val="9.5"/>
        <rFont val="Calibri"/>
        <family val="1"/>
      </rPr>
      <t>Até 15 alunos</t>
    </r>
  </si>
  <si>
    <r>
      <rPr>
        <sz val="9.5"/>
        <rFont val="Calibri"/>
        <family val="1"/>
      </rPr>
      <t>R$              -</t>
    </r>
  </si>
  <si>
    <r>
      <rPr>
        <sz val="9.5"/>
        <rFont val="Calibri"/>
        <family val="1"/>
      </rPr>
      <t>16 alunos</t>
    </r>
  </si>
  <si>
    <r>
      <rPr>
        <b/>
        <sz val="9.5"/>
        <rFont val="Calibri"/>
        <family val="1"/>
      </rPr>
      <t>R$              -</t>
    </r>
  </si>
  <si>
    <r>
      <rPr>
        <sz val="9.5"/>
        <rFont val="Calibri"/>
        <family val="1"/>
      </rPr>
      <t>17 alunos em diante</t>
    </r>
  </si>
  <si>
    <r>
      <rPr>
        <sz val="9.5"/>
        <rFont val="Calibri"/>
        <family val="1"/>
      </rPr>
      <t>* A partir do 17º aluno a remuneração será composta pelo valor fixo da tabela 1 mais o valor per capita;</t>
    </r>
  </si>
  <si>
    <r>
      <rPr>
        <sz val="9.5"/>
        <rFont val="Calibri"/>
        <family val="1"/>
      </rPr>
      <t xml:space="preserve">Tabela 2 - Remuneração de veículo </t>
    </r>
    <r>
      <rPr>
        <b/>
        <sz val="9.5"/>
        <rFont val="Calibri"/>
        <family val="1"/>
      </rPr>
      <t xml:space="preserve">Acessível </t>
    </r>
    <r>
      <rPr>
        <sz val="9.5"/>
        <rFont val="Calibri"/>
        <family val="1"/>
      </rPr>
      <t>(aluno cadeirante)</t>
    </r>
  </si>
  <si>
    <r>
      <rPr>
        <sz val="9.5"/>
        <rFont val="Calibri"/>
        <family val="1"/>
      </rPr>
      <t>1 Aluno</t>
    </r>
  </si>
  <si>
    <r>
      <rPr>
        <sz val="9.5"/>
        <rFont val="Calibri"/>
        <family val="1"/>
      </rPr>
      <t>2 Alunos</t>
    </r>
  </si>
  <si>
    <r>
      <rPr>
        <sz val="9.5"/>
        <rFont val="Calibri"/>
        <family val="1"/>
      </rPr>
      <t>3 alunos em diante</t>
    </r>
  </si>
  <si>
    <r>
      <rPr>
        <b/>
        <sz val="9.5"/>
        <rFont val="Calibri"/>
        <family val="1"/>
      </rPr>
      <t>R$ 2.043,65*</t>
    </r>
  </si>
  <si>
    <r>
      <rPr>
        <sz val="8.5"/>
        <rFont val="Calibri"/>
        <family val="1"/>
      </rPr>
      <t>* A partir do 3º aluno cadeirante a remuneração será composta pelo valor fixo da tabela 2 mais o valor per capita;</t>
    </r>
  </si>
  <si>
    <r>
      <rPr>
        <b/>
        <sz val="9.5"/>
        <rFont val="Calibri"/>
        <family val="1"/>
      </rPr>
      <t>Tabela 3 - Remuneração de veículo TEG Especial</t>
    </r>
  </si>
  <si>
    <r>
      <rPr>
        <b/>
        <sz val="9.5"/>
        <rFont val="Calibri"/>
        <family val="1"/>
      </rPr>
      <t>Per capita Reg</t>
    </r>
  </si>
  <si>
    <r>
      <rPr>
        <b/>
        <sz val="9.5"/>
        <rFont val="Calibri"/>
        <family val="1"/>
      </rPr>
      <t>Per capta Aces</t>
    </r>
  </si>
  <si>
    <r>
      <rPr>
        <sz val="9.5"/>
        <rFont val="Calibri"/>
        <family val="1"/>
      </rPr>
      <t>* Per Capita composto conforme tipo de transporte efetuado;</t>
    </r>
  </si>
  <si>
    <r>
      <rPr>
        <b/>
        <sz val="9.5"/>
        <rFont val="Calibri"/>
        <family val="1"/>
      </rPr>
      <t>Tabela 4 - Remuneração de veículo TEG Creche</t>
    </r>
  </si>
  <si>
    <r>
      <rPr>
        <sz val="9.5"/>
        <rFont val="Calibri"/>
        <family val="1"/>
      </rPr>
      <t>Até 09 alunos</t>
    </r>
  </si>
  <si>
    <r>
      <rPr>
        <sz val="9.5"/>
        <rFont val="Calibri"/>
        <family val="1"/>
      </rPr>
      <t>10 alunos</t>
    </r>
  </si>
  <si>
    <r>
      <rPr>
        <sz val="9.5"/>
        <rFont val="Calibri"/>
        <family val="1"/>
      </rPr>
      <t>11 alunos em diante</t>
    </r>
  </si>
  <si>
    <r>
      <rPr>
        <sz val="8.5"/>
        <rFont val="Calibri"/>
        <family val="1"/>
      </rPr>
      <t>* A partir do 11º aluno de creche a remuneração será composta pelo valor fixo da tabela 4 mais o valor per capita;</t>
    </r>
  </si>
  <si>
    <r>
      <rPr>
        <b/>
        <sz val="9.5"/>
        <rFont val="Calibri"/>
        <family val="1"/>
      </rPr>
      <t>Tabela 5 - Kilometragem Adicional - a partir do 6o Kilometro</t>
    </r>
  </si>
  <si>
    <r>
      <rPr>
        <b/>
        <sz val="9.5"/>
        <rFont val="Calibri"/>
        <family val="1"/>
      </rPr>
      <t>Por Km</t>
    </r>
  </si>
  <si>
    <r>
      <rPr>
        <sz val="9.5"/>
        <rFont val="Calibri"/>
        <family val="1"/>
      </rPr>
      <t>A Partir do 6o Km</t>
    </r>
  </si>
  <si>
    <r>
      <rPr>
        <b/>
        <sz val="9.5"/>
        <rFont val="Calibri"/>
        <family val="1"/>
      </rPr>
      <t>R$                1,16</t>
    </r>
  </si>
  <si>
    <r>
      <rPr>
        <b/>
        <sz val="9.5"/>
        <rFont val="Calibri"/>
        <family val="1"/>
      </rPr>
      <t>Por Atendimento / dia</t>
    </r>
  </si>
  <si>
    <r>
      <rPr>
        <b/>
        <sz val="9.5"/>
        <rFont val="Calibri"/>
        <family val="1"/>
      </rPr>
      <t>Por criança</t>
    </r>
  </si>
  <si>
    <r>
      <rPr>
        <sz val="9.5"/>
        <rFont val="Calibri"/>
        <family val="1"/>
      </rPr>
      <t>2,5% do valor</t>
    </r>
  </si>
  <si>
    <r>
      <rPr>
        <sz val="9.5"/>
        <rFont val="Calibri"/>
        <family val="1"/>
      </rPr>
      <t>Regular</t>
    </r>
  </si>
  <si>
    <r>
      <rPr>
        <sz val="9.5"/>
        <rFont val="Calibri"/>
        <family val="1"/>
      </rPr>
      <t>Cadeirante</t>
    </r>
  </si>
  <si>
    <t>Condição</t>
  </si>
  <si>
    <t>Fixo</t>
  </si>
  <si>
    <t>Percapita</t>
  </si>
  <si>
    <t>Até 15 alunos</t>
  </si>
  <si>
    <t>R$              -</t>
  </si>
  <si>
    <t>R$            350,21</t>
  </si>
  <si>
    <t>16 alunos</t>
  </si>
  <si>
    <t>R$         6.811,38</t>
  </si>
  <si>
    <t>17 alunos em diante</t>
  </si>
  <si>
    <t>R$ 350,21*</t>
  </si>
  <si>
    <t>Valores - Abril 2025</t>
  </si>
  <si>
    <t>1 Aluno</t>
  </si>
  <si>
    <t>R$        2.043,65</t>
  </si>
  <si>
    <t>2 Alunos</t>
  </si>
  <si>
    <t>3 alunos em diante</t>
  </si>
  <si>
    <t>R$ 2.043,65*</t>
  </si>
  <si>
    <t>Per capita Reg</t>
  </si>
  <si>
    <t>Per capta Aces</t>
  </si>
  <si>
    <t>R$10.423,30</t>
  </si>
  <si>
    <t>Até 09 alunos</t>
  </si>
  <si>
    <t>10 alunos</t>
  </si>
  <si>
    <t>11 alunos em diante</t>
  </si>
  <si>
    <t>R$ 564,67*</t>
  </si>
  <si>
    <t>Reajustaremos os valores , conforme o indice IPC/FIPE de Junho de 2024 a Abril de 2025</t>
  </si>
  <si>
    <t>Obs: Em 1º de Junho de 2025 houve reajuste de 10% sobre os valores praticados no mês de maio, com execessão sobre o valor</t>
  </si>
  <si>
    <t>do veículo acessével que permaneceu inalterado</t>
  </si>
  <si>
    <t>VALORES REAJUSTADOS 10% Reequilíbrio Financeiro Junho/2025</t>
  </si>
  <si>
    <t>Tabela 6 - Atividade Complementar Continua - INSTRUÇÃO NORMATIVA SME 06/2023</t>
  </si>
  <si>
    <t>V - DO ATENDIMENTO ESPECÍFICO DAS ATIVIDADES COMPLEMENTARES
Art. 27 O pagamento da prestação de serviço referente à atividade complementar em horário contínuo ao ensino regular, ou vice-versa, será realizado de forma proporcional aos dias de atendimento na semana, na razão de 2,5% do valor per capita por dia de atendimento.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</si>
</sst>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* #,##0.00_-;\-&quot;R$&quot;* #,##0.00_-;_-&quot;R$&quot;* &quot;-&quot;??_-;_-@_-"/>
    <numFmt numFmtId="165" formatCode="0.0000000"/>
  </numFmts>
  <fonts count="18" x14ac:knownFonts="1">
    <font>
      <sz val="10"/>
      <color rgb="FF000000"/>
      <name val="Times New Roman"/>
      <charset val="204"/>
    </font>
    <font>
      <sz val="7.5"/>
      <name val="Calibri"/>
      <family val="2"/>
    </font>
    <font>
      <b/>
      <sz val="10"/>
      <name val="Calibri"/>
      <family val="2"/>
    </font>
    <font>
      <sz val="9.5"/>
      <name val="Calibri"/>
      <family val="2"/>
    </font>
    <font>
      <sz val="9.5"/>
      <color rgb="FF000000"/>
      <name val="Calibri"/>
      <family val="2"/>
    </font>
    <font>
      <b/>
      <sz val="9.5"/>
      <name val="Calibri"/>
      <family val="2"/>
    </font>
    <font>
      <sz val="8.5"/>
      <color rgb="FF000000"/>
      <name val="Verdana"/>
      <family val="2"/>
    </font>
    <font>
      <sz val="8.5"/>
      <name val="Calibri"/>
      <family val="2"/>
    </font>
    <font>
      <b/>
      <sz val="9.5"/>
      <color rgb="FF000000"/>
      <name val="Calibri"/>
      <family val="2"/>
    </font>
    <font>
      <sz val="7.5"/>
      <name val="Calibri"/>
      <family val="1"/>
    </font>
    <font>
      <b/>
      <sz val="10"/>
      <name val="Calibri"/>
      <family val="1"/>
    </font>
    <font>
      <sz val="9.5"/>
      <name val="Calibri"/>
      <family val="1"/>
    </font>
    <font>
      <b/>
      <sz val="9.5"/>
      <name val="Calibri"/>
      <family val="1"/>
    </font>
    <font>
      <sz val="8.5"/>
      <name val="Calibri"/>
      <family val="1"/>
    </font>
    <font>
      <sz val="10"/>
      <color rgb="FF000000"/>
      <name val="Times New Roman"/>
      <family val="1"/>
    </font>
    <font>
      <sz val="9.5"/>
      <color rgb="FF000000"/>
      <name val="Calibri"/>
      <family val="2"/>
      <scheme val="minor"/>
    </font>
    <font>
      <sz val="9"/>
      <color rgb="FF000000"/>
      <name val="Times New Roman"/>
      <family val="1"/>
    </font>
    <font>
      <b/>
      <sz val="9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D6D6D6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4" fillId="0" borderId="0" applyFont="0" applyFill="0" applyBorder="0" applyAlignment="0" applyProtection="0"/>
  </cellStyleXfs>
  <cellXfs count="85">
    <xf numFmtId="0" fontId="0" fillId="0" borderId="0" xfId="0" applyAlignment="1">
      <alignment horizontal="left" vertical="top"/>
    </xf>
    <xf numFmtId="10" fontId="4" fillId="0" borderId="0" xfId="0" applyNumberFormat="1" applyFont="1" applyAlignment="1">
      <alignment horizontal="left" vertical="top" indent="3" shrinkToFi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center" vertical="top" wrapText="1"/>
    </xf>
    <xf numFmtId="165" fontId="6" fillId="0" borderId="1" xfId="0" applyNumberFormat="1" applyFont="1" applyBorder="1" applyAlignment="1">
      <alignment horizontal="left" vertical="top" indent="2" shrinkToFit="1"/>
    </xf>
    <xf numFmtId="0" fontId="5" fillId="2" borderId="2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top" wrapText="1" indent="4"/>
    </xf>
    <xf numFmtId="0" fontId="5" fillId="0" borderId="2" xfId="0" applyFont="1" applyBorder="1" applyAlignment="1">
      <alignment horizontal="left" vertical="top" wrapText="1" indent="3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 indent="2"/>
    </xf>
    <xf numFmtId="0" fontId="5" fillId="2" borderId="2" xfId="0" applyFont="1" applyFill="1" applyBorder="1" applyAlignment="1">
      <alignment horizontal="left" vertical="top" wrapText="1" indent="3"/>
    </xf>
    <xf numFmtId="0" fontId="5" fillId="2" borderId="2" xfId="0" applyFont="1" applyFill="1" applyBorder="1" applyAlignment="1">
      <alignment horizontal="left" vertical="top" wrapText="1" indent="2"/>
    </xf>
    <xf numFmtId="0" fontId="3" fillId="0" borderId="2" xfId="0" applyFont="1" applyBorder="1" applyAlignment="1">
      <alignment horizontal="left" vertical="top" wrapText="1" indent="2"/>
    </xf>
    <xf numFmtId="0" fontId="3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right" vertical="top" wrapText="1"/>
    </xf>
    <xf numFmtId="0" fontId="3" fillId="2" borderId="2" xfId="0" applyFont="1" applyFill="1" applyBorder="1" applyAlignment="1">
      <alignment horizontal="left" vertical="top" wrapText="1" indent="2"/>
    </xf>
    <xf numFmtId="0" fontId="3" fillId="2" borderId="2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right" vertical="top" wrapText="1"/>
    </xf>
    <xf numFmtId="0" fontId="3" fillId="0" borderId="2" xfId="0" applyFont="1" applyBorder="1" applyAlignment="1">
      <alignment horizontal="left" vertical="top" wrapText="1" indent="3"/>
    </xf>
    <xf numFmtId="0" fontId="5" fillId="0" borderId="2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 indent="3"/>
    </xf>
    <xf numFmtId="0" fontId="5" fillId="2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right" vertical="top" wrapText="1"/>
    </xf>
    <xf numFmtId="0" fontId="5" fillId="0" borderId="2" xfId="0" applyFont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right" vertical="top" wrapText="1"/>
    </xf>
    <xf numFmtId="0" fontId="5" fillId="0" borderId="2" xfId="0" applyFont="1" applyBorder="1" applyAlignment="1">
      <alignment horizontal="left" vertical="top" wrapText="1" indent="4"/>
    </xf>
    <xf numFmtId="0" fontId="3" fillId="0" borderId="2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 indent="4"/>
    </xf>
    <xf numFmtId="0" fontId="3" fillId="2" borderId="2" xfId="0" applyFont="1" applyFill="1" applyBorder="1" applyAlignment="1">
      <alignment horizontal="left" vertical="top" wrapText="1" indent="4"/>
    </xf>
    <xf numFmtId="0" fontId="3" fillId="0" borderId="2" xfId="0" applyFont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1"/>
    </xf>
    <xf numFmtId="0" fontId="5" fillId="0" borderId="3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right" vertical="top" wrapText="1"/>
    </xf>
    <xf numFmtId="4" fontId="8" fillId="0" borderId="2" xfId="0" applyNumberFormat="1" applyFont="1" applyBorder="1" applyAlignment="1">
      <alignment horizontal="right" vertical="top" shrinkToFit="1"/>
    </xf>
    <xf numFmtId="0" fontId="5" fillId="2" borderId="2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164" fontId="3" fillId="2" borderId="2" xfId="1" applyFont="1" applyFill="1" applyBorder="1" applyAlignment="1">
      <alignment horizontal="left" vertical="top" wrapText="1"/>
    </xf>
    <xf numFmtId="164" fontId="5" fillId="2" borderId="2" xfId="1" applyFont="1" applyFill="1" applyBorder="1" applyAlignment="1">
      <alignment horizontal="right" vertical="top" wrapText="1"/>
    </xf>
    <xf numFmtId="164" fontId="5" fillId="2" borderId="2" xfId="1" applyFont="1" applyFill="1" applyBorder="1" applyAlignment="1">
      <alignment horizontal="left" vertical="top" wrapText="1" indent="2"/>
    </xf>
    <xf numFmtId="164" fontId="5" fillId="2" borderId="2" xfId="1" applyFont="1" applyFill="1" applyBorder="1" applyAlignment="1">
      <alignment horizontal="center" vertical="top" wrapText="1"/>
    </xf>
    <xf numFmtId="164" fontId="5" fillId="0" borderId="2" xfId="1" applyFont="1" applyFill="1" applyBorder="1" applyAlignment="1">
      <alignment horizontal="right" vertical="top" wrapText="1" indent="1"/>
    </xf>
    <xf numFmtId="0" fontId="15" fillId="0" borderId="0" xfId="0" applyFont="1" applyAlignment="1">
      <alignment horizontal="left" vertical="top"/>
    </xf>
    <xf numFmtId="4" fontId="0" fillId="0" borderId="0" xfId="0" applyNumberForma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 indent="3"/>
    </xf>
    <xf numFmtId="0" fontId="5" fillId="0" borderId="0" xfId="0" applyFont="1" applyAlignment="1">
      <alignment horizontal="left" vertical="top" wrapText="1" indent="8"/>
    </xf>
    <xf numFmtId="0" fontId="0" fillId="0" borderId="1" xfId="0" applyBorder="1" applyAlignment="1">
      <alignment horizontal="left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0" fillId="0" borderId="6" xfId="0" applyBorder="1" applyAlignment="1">
      <alignment horizontal="left" wrapText="1"/>
    </xf>
    <xf numFmtId="0" fontId="12" fillId="0" borderId="0" xfId="0" applyFont="1" applyAlignment="1">
      <alignment horizontal="left" vertical="top" wrapText="1" indent="9"/>
    </xf>
    <xf numFmtId="0" fontId="5" fillId="0" borderId="0" xfId="0" applyFont="1" applyAlignment="1">
      <alignment horizontal="left" vertical="top" wrapText="1" indent="9"/>
    </xf>
    <xf numFmtId="0" fontId="5" fillId="0" borderId="7" xfId="0" applyFont="1" applyBorder="1" applyAlignment="1">
      <alignment horizontal="left" vertical="top" wrapText="1" indent="9"/>
    </xf>
    <xf numFmtId="0" fontId="12" fillId="2" borderId="3" xfId="0" applyFont="1" applyFill="1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2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 indent="2"/>
    </xf>
    <xf numFmtId="0" fontId="5" fillId="0" borderId="9" xfId="0" applyFont="1" applyBorder="1" applyAlignment="1">
      <alignment horizontal="left" vertical="top" wrapText="1" indent="9"/>
    </xf>
    <xf numFmtId="0" fontId="5" fillId="0" borderId="6" xfId="0" applyFont="1" applyBorder="1" applyAlignment="1">
      <alignment horizontal="left" vertical="top" wrapText="1" indent="9"/>
    </xf>
    <xf numFmtId="0" fontId="5" fillId="0" borderId="10" xfId="0" applyFont="1" applyBorder="1" applyAlignment="1">
      <alignment horizontal="left" vertical="top" wrapText="1" indent="9"/>
    </xf>
    <xf numFmtId="0" fontId="5" fillId="0" borderId="11" xfId="0" applyFont="1" applyBorder="1" applyAlignment="1">
      <alignment horizontal="left" vertical="top" wrapText="1" indent="9"/>
    </xf>
    <xf numFmtId="0" fontId="5" fillId="0" borderId="12" xfId="0" applyFont="1" applyBorder="1" applyAlignment="1">
      <alignment horizontal="left" vertical="top" wrapText="1" indent="9"/>
    </xf>
    <xf numFmtId="0" fontId="5" fillId="0" borderId="1" xfId="0" applyFont="1" applyBorder="1" applyAlignment="1">
      <alignment horizontal="left" vertical="top" wrapText="1" indent="9"/>
    </xf>
    <xf numFmtId="0" fontId="5" fillId="0" borderId="13" xfId="0" applyFont="1" applyBorder="1" applyAlignment="1">
      <alignment horizontal="left" vertical="top" wrapText="1" indent="9"/>
    </xf>
    <xf numFmtId="0" fontId="12" fillId="2" borderId="3" xfId="0" applyFont="1" applyFill="1" applyBorder="1" applyAlignment="1">
      <alignment horizontal="left" vertical="top" wrapText="1" indent="7"/>
    </xf>
    <xf numFmtId="0" fontId="5" fillId="2" borderId="4" xfId="0" applyFont="1" applyFill="1" applyBorder="1" applyAlignment="1">
      <alignment horizontal="left" vertical="top" wrapText="1" indent="7"/>
    </xf>
    <xf numFmtId="0" fontId="5" fillId="2" borderId="5" xfId="0" applyFont="1" applyFill="1" applyBorder="1" applyAlignment="1">
      <alignment horizontal="left" vertical="top" wrapText="1" indent="7"/>
    </xf>
    <xf numFmtId="0" fontId="16" fillId="0" borderId="6" xfId="0" applyFont="1" applyBorder="1" applyAlignment="1">
      <alignment horizontal="left" wrapText="1"/>
    </xf>
    <xf numFmtId="0" fontId="17" fillId="2" borderId="6" xfId="0" applyFont="1" applyFill="1" applyBorder="1" applyAlignment="1">
      <alignment horizontal="center" vertical="top" wrapText="1"/>
    </xf>
    <xf numFmtId="0" fontId="17" fillId="2" borderId="0" xfId="0" applyFont="1" applyFill="1" applyAlignment="1">
      <alignment horizontal="center" vertical="top" wrapText="1"/>
    </xf>
    <xf numFmtId="0" fontId="17" fillId="2" borderId="1" xfId="0" applyFont="1" applyFill="1" applyBorder="1" applyAlignment="1">
      <alignment horizontal="center" vertical="top" wrapTex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alter\2025\05.%20MAIO\05%20ATESTE%20CS%20PF%20MAI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ADMCS"/>
      <sheetName val="APONTAMENTO CREDENCIAMENTO"/>
      <sheetName val="CONTINUA"/>
      <sheetName val="VALORES TABELA"/>
      <sheetName val="ATESTE-LIQ"/>
      <sheetName val="DEMO"/>
      <sheetName val="CALCULOS"/>
    </sheetNames>
    <sheetDataSet>
      <sheetData sheetId="0"/>
      <sheetData sheetId="1"/>
      <sheetData sheetId="2"/>
      <sheetData sheetId="3">
        <row r="7">
          <cell r="B7">
            <v>1.2759999999999998</v>
          </cell>
        </row>
        <row r="8">
          <cell r="B8">
            <v>9.6359999999999992</v>
          </cell>
        </row>
        <row r="9">
          <cell r="B9">
            <v>56.199000000000005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topLeftCell="A13" zoomScaleNormal="100" workbookViewId="0">
      <selection activeCell="M25" sqref="M25"/>
    </sheetView>
  </sheetViews>
  <sheetFormatPr defaultRowHeight="12.75" x14ac:dyDescent="0.2"/>
  <cols>
    <col min="1" max="1" width="22.5" customWidth="1"/>
    <col min="2" max="2" width="15.5" customWidth="1"/>
    <col min="3" max="3" width="16.6640625" customWidth="1"/>
    <col min="4" max="4" width="3.1640625" customWidth="1"/>
    <col min="5" max="5" width="22.5" customWidth="1"/>
    <col min="6" max="6" width="16.6640625" customWidth="1"/>
    <col min="7" max="7" width="19" customWidth="1"/>
  </cols>
  <sheetData>
    <row r="1" spans="1:7" ht="9.75" customHeight="1" x14ac:dyDescent="0.2">
      <c r="A1" s="48" t="s">
        <v>0</v>
      </c>
      <c r="B1" s="48"/>
      <c r="C1" s="48"/>
      <c r="D1" s="48"/>
      <c r="E1" s="48"/>
      <c r="F1" s="48"/>
      <c r="G1" s="48"/>
    </row>
    <row r="2" spans="1:7" ht="11.45" customHeight="1" x14ac:dyDescent="0.2">
      <c r="A2" s="49" t="s">
        <v>62</v>
      </c>
      <c r="B2" s="48"/>
      <c r="C2" s="48"/>
      <c r="D2" s="48"/>
      <c r="E2" s="48"/>
      <c r="F2" s="48"/>
      <c r="G2" s="48"/>
    </row>
    <row r="3" spans="1:7" ht="15" customHeight="1" x14ac:dyDescent="0.2">
      <c r="A3" s="50" t="s">
        <v>1</v>
      </c>
      <c r="B3" s="50"/>
      <c r="C3" s="50"/>
      <c r="D3" s="50"/>
      <c r="E3" s="50"/>
      <c r="F3" s="50"/>
      <c r="G3" s="50"/>
    </row>
    <row r="4" spans="1:7" ht="14.25" customHeight="1" x14ac:dyDescent="0.2">
      <c r="A4" s="51" t="s">
        <v>2</v>
      </c>
      <c r="B4" s="51"/>
      <c r="C4" s="1">
        <v>4.9099999999999998E-2</v>
      </c>
      <c r="D4" s="2"/>
      <c r="E4" s="52" t="s">
        <v>3</v>
      </c>
      <c r="F4" s="52"/>
      <c r="G4" s="2"/>
    </row>
    <row r="5" spans="1:7" ht="14.85" customHeight="1" x14ac:dyDescent="0.2">
      <c r="A5" s="53"/>
      <c r="B5" s="53"/>
      <c r="C5" s="3"/>
      <c r="D5" s="3"/>
      <c r="E5" s="4" t="s">
        <v>4</v>
      </c>
      <c r="F5" s="5">
        <v>1.0491105000000001</v>
      </c>
      <c r="G5" s="3"/>
    </row>
    <row r="6" spans="1:7" ht="14.25" customHeight="1" x14ac:dyDescent="0.2">
      <c r="A6" s="54" t="s">
        <v>5</v>
      </c>
      <c r="B6" s="55"/>
      <c r="C6" s="55"/>
      <c r="D6" s="55"/>
      <c r="E6" s="55"/>
      <c r="F6" s="55"/>
      <c r="G6" s="56"/>
    </row>
    <row r="7" spans="1:7" ht="5.85" customHeight="1" x14ac:dyDescent="0.2">
      <c r="A7" s="57"/>
      <c r="B7" s="57"/>
      <c r="C7" s="57"/>
      <c r="D7" s="57"/>
      <c r="E7" s="57"/>
      <c r="F7" s="57"/>
      <c r="G7" s="57"/>
    </row>
    <row r="8" spans="1:7" ht="24.75" customHeight="1" x14ac:dyDescent="0.2">
      <c r="A8" s="58" t="s">
        <v>49</v>
      </c>
      <c r="B8" s="59"/>
      <c r="C8" s="59"/>
      <c r="D8" s="60"/>
      <c r="E8" s="61" t="s">
        <v>65</v>
      </c>
      <c r="F8" s="55"/>
      <c r="G8" s="56"/>
    </row>
    <row r="9" spans="1:7" ht="14.25" customHeight="1" x14ac:dyDescent="0.2">
      <c r="A9" s="8" t="s">
        <v>39</v>
      </c>
      <c r="B9" s="9" t="s">
        <v>40</v>
      </c>
      <c r="C9" s="10" t="s">
        <v>41</v>
      </c>
      <c r="D9" s="62"/>
      <c r="E9" s="11" t="s">
        <v>6</v>
      </c>
      <c r="F9" s="6" t="s">
        <v>7</v>
      </c>
      <c r="G9" s="12" t="s">
        <v>8</v>
      </c>
    </row>
    <row r="10" spans="1:7" ht="14.25" customHeight="1" x14ac:dyDescent="0.2">
      <c r="A10" s="13" t="s">
        <v>42</v>
      </c>
      <c r="B10" s="14" t="s">
        <v>43</v>
      </c>
      <c r="C10" s="15" t="s">
        <v>44</v>
      </c>
      <c r="D10" s="62"/>
      <c r="E10" s="16" t="s">
        <v>9</v>
      </c>
      <c r="F10" s="17" t="s">
        <v>10</v>
      </c>
      <c r="G10" s="42">
        <v>385.23099999999999</v>
      </c>
    </row>
    <row r="11" spans="1:7" ht="14.25" customHeight="1" x14ac:dyDescent="0.2">
      <c r="A11" s="19" t="s">
        <v>45</v>
      </c>
      <c r="B11" s="14" t="s">
        <v>46</v>
      </c>
      <c r="C11" s="20" t="s">
        <v>43</v>
      </c>
      <c r="D11" s="62"/>
      <c r="E11" s="21" t="s">
        <v>11</v>
      </c>
      <c r="F11" s="41">
        <v>7492.518</v>
      </c>
      <c r="G11" s="22" t="s">
        <v>12</v>
      </c>
    </row>
    <row r="12" spans="1:7" ht="14.25" customHeight="1" x14ac:dyDescent="0.2">
      <c r="A12" s="23" t="s">
        <v>47</v>
      </c>
      <c r="B12" s="14" t="s">
        <v>46</v>
      </c>
      <c r="C12" s="24" t="s">
        <v>48</v>
      </c>
      <c r="D12" s="62"/>
      <c r="E12" s="25" t="s">
        <v>13</v>
      </c>
      <c r="F12" s="41">
        <v>7492.518</v>
      </c>
      <c r="G12" s="42">
        <v>385.23099999999999</v>
      </c>
    </row>
    <row r="13" spans="1:7" ht="23.85" customHeight="1" x14ac:dyDescent="0.2">
      <c r="A13" s="63" t="s">
        <v>14</v>
      </c>
      <c r="B13" s="63"/>
      <c r="C13" s="63"/>
      <c r="D13" s="63"/>
      <c r="E13" s="63"/>
      <c r="F13" s="63"/>
      <c r="G13" s="63"/>
    </row>
    <row r="14" spans="1:7" ht="14.25" customHeight="1" x14ac:dyDescent="0.2">
      <c r="A14" s="64" t="s">
        <v>15</v>
      </c>
      <c r="B14" s="65"/>
      <c r="C14" s="65"/>
      <c r="D14" s="65"/>
      <c r="E14" s="65"/>
      <c r="F14" s="65"/>
      <c r="G14" s="66"/>
    </row>
    <row r="15" spans="1:7" ht="12.2" customHeight="1" x14ac:dyDescent="0.2">
      <c r="A15" s="57"/>
      <c r="B15" s="57"/>
      <c r="C15" s="57"/>
      <c r="D15" s="57"/>
      <c r="E15" s="57"/>
      <c r="F15" s="57"/>
      <c r="G15" s="57"/>
    </row>
    <row r="16" spans="1:7" ht="14.25" customHeight="1" x14ac:dyDescent="0.2">
      <c r="A16" s="26" t="s">
        <v>6</v>
      </c>
      <c r="B16" s="9" t="s">
        <v>7</v>
      </c>
      <c r="C16" s="10" t="s">
        <v>8</v>
      </c>
      <c r="D16" s="62"/>
      <c r="E16" s="7" t="s">
        <v>6</v>
      </c>
      <c r="F16" s="6" t="s">
        <v>7</v>
      </c>
      <c r="G16" s="12" t="s">
        <v>8</v>
      </c>
    </row>
    <row r="17" spans="1:14" ht="14.25" customHeight="1" x14ac:dyDescent="0.2">
      <c r="A17" s="27" t="s">
        <v>50</v>
      </c>
      <c r="B17" s="14" t="s">
        <v>43</v>
      </c>
      <c r="C17" s="15" t="s">
        <v>51</v>
      </c>
      <c r="D17" s="62"/>
      <c r="E17" s="28" t="s">
        <v>16</v>
      </c>
      <c r="F17" s="17" t="s">
        <v>10</v>
      </c>
      <c r="G17" s="42">
        <v>2043.65</v>
      </c>
    </row>
    <row r="18" spans="1:14" ht="14.25" customHeight="1" x14ac:dyDescent="0.2">
      <c r="A18" s="29" t="s">
        <v>52</v>
      </c>
      <c r="B18" s="14" t="s">
        <v>46</v>
      </c>
      <c r="C18" s="20" t="s">
        <v>43</v>
      </c>
      <c r="D18" s="62"/>
      <c r="E18" s="30" t="s">
        <v>17</v>
      </c>
      <c r="F18" s="41">
        <v>7492.518</v>
      </c>
      <c r="G18" s="22" t="s">
        <v>12</v>
      </c>
    </row>
    <row r="19" spans="1:14" ht="14.25" customHeight="1" x14ac:dyDescent="0.2">
      <c r="A19" s="31" t="s">
        <v>53</v>
      </c>
      <c r="B19" s="14" t="s">
        <v>46</v>
      </c>
      <c r="C19" s="15" t="s">
        <v>54</v>
      </c>
      <c r="D19" s="62"/>
      <c r="E19" s="32" t="s">
        <v>18</v>
      </c>
      <c r="F19" s="41">
        <v>7492.518</v>
      </c>
      <c r="G19" s="18" t="s">
        <v>19</v>
      </c>
    </row>
    <row r="20" spans="1:14" ht="23.85" customHeight="1" x14ac:dyDescent="0.2">
      <c r="A20" s="67" t="s">
        <v>20</v>
      </c>
      <c r="B20" s="67"/>
      <c r="C20" s="67"/>
      <c r="D20" s="67"/>
      <c r="E20" s="67"/>
      <c r="F20" s="67"/>
      <c r="G20" s="67"/>
    </row>
    <row r="21" spans="1:14" ht="14.25" customHeight="1" x14ac:dyDescent="0.2">
      <c r="A21" s="54" t="s">
        <v>21</v>
      </c>
      <c r="B21" s="55"/>
      <c r="C21" s="55"/>
      <c r="D21" s="55"/>
      <c r="E21" s="55"/>
      <c r="F21" s="55"/>
      <c r="G21" s="56"/>
    </row>
    <row r="22" spans="1:14" ht="5.85" customHeight="1" x14ac:dyDescent="0.2">
      <c r="A22" s="57"/>
      <c r="B22" s="57"/>
      <c r="C22" s="57"/>
      <c r="D22" s="57"/>
      <c r="E22" s="57"/>
      <c r="F22" s="57"/>
      <c r="G22" s="57"/>
    </row>
    <row r="23" spans="1:14" ht="14.25" customHeight="1" x14ac:dyDescent="0.2">
      <c r="A23" s="9" t="s">
        <v>40</v>
      </c>
      <c r="B23" s="33" t="s">
        <v>55</v>
      </c>
      <c r="C23" s="34" t="s">
        <v>56</v>
      </c>
      <c r="D23" s="68"/>
      <c r="E23" s="6" t="s">
        <v>7</v>
      </c>
      <c r="F23" s="35" t="s">
        <v>22</v>
      </c>
      <c r="G23" s="36" t="s">
        <v>23</v>
      </c>
    </row>
    <row r="24" spans="1:14" ht="14.25" customHeight="1" x14ac:dyDescent="0.2">
      <c r="A24" s="37" t="s">
        <v>57</v>
      </c>
      <c r="B24" s="24" t="s">
        <v>48</v>
      </c>
      <c r="C24" s="15" t="s">
        <v>54</v>
      </c>
      <c r="D24" s="68"/>
      <c r="E24" s="42">
        <v>11465.63</v>
      </c>
      <c r="F24" s="43">
        <v>385.23099999999999</v>
      </c>
      <c r="G24" s="18" t="s">
        <v>19</v>
      </c>
      <c r="N24" s="47"/>
    </row>
    <row r="25" spans="1:14" ht="23.85" customHeight="1" x14ac:dyDescent="0.2">
      <c r="A25" s="69" t="s">
        <v>24</v>
      </c>
      <c r="B25" s="69"/>
      <c r="C25" s="69"/>
      <c r="D25" s="69"/>
      <c r="E25" s="69"/>
      <c r="F25" s="69"/>
      <c r="G25" s="69"/>
    </row>
    <row r="26" spans="1:14" ht="14.25" customHeight="1" x14ac:dyDescent="0.2">
      <c r="A26" s="54" t="s">
        <v>25</v>
      </c>
      <c r="B26" s="55"/>
      <c r="C26" s="55"/>
      <c r="D26" s="55"/>
      <c r="E26" s="55"/>
      <c r="F26" s="55"/>
      <c r="G26" s="56"/>
    </row>
    <row r="27" spans="1:14" ht="5.85" customHeight="1" x14ac:dyDescent="0.2">
      <c r="A27" s="57"/>
      <c r="B27" s="57"/>
      <c r="C27" s="57"/>
      <c r="D27" s="57"/>
      <c r="E27" s="57"/>
      <c r="F27" s="57"/>
      <c r="G27" s="57"/>
    </row>
    <row r="28" spans="1:14" ht="14.25" customHeight="1" x14ac:dyDescent="0.2">
      <c r="A28" s="26" t="s">
        <v>6</v>
      </c>
      <c r="B28" s="9" t="s">
        <v>7</v>
      </c>
      <c r="C28" s="10" t="s">
        <v>8</v>
      </c>
      <c r="D28" s="62"/>
      <c r="E28" s="7" t="s">
        <v>6</v>
      </c>
      <c r="F28" s="6" t="s">
        <v>7</v>
      </c>
      <c r="G28" s="12" t="s">
        <v>8</v>
      </c>
    </row>
    <row r="29" spans="1:14" ht="14.25" customHeight="1" x14ac:dyDescent="0.2">
      <c r="A29" s="13" t="s">
        <v>58</v>
      </c>
      <c r="B29" s="14" t="s">
        <v>43</v>
      </c>
      <c r="C29" s="15">
        <v>564.66999999999996</v>
      </c>
      <c r="D29" s="62"/>
      <c r="E29" s="16" t="s">
        <v>26</v>
      </c>
      <c r="F29" s="17" t="s">
        <v>10</v>
      </c>
      <c r="G29" s="44">
        <v>621.13699999999994</v>
      </c>
    </row>
    <row r="30" spans="1:14" ht="14.25" customHeight="1" x14ac:dyDescent="0.2">
      <c r="A30" s="19" t="s">
        <v>59</v>
      </c>
      <c r="B30" s="14" t="s">
        <v>46</v>
      </c>
      <c r="C30" s="20" t="s">
        <v>43</v>
      </c>
      <c r="D30" s="62"/>
      <c r="E30" s="21" t="s">
        <v>27</v>
      </c>
      <c r="F30" s="41">
        <v>7492.518</v>
      </c>
      <c r="G30" s="22" t="s">
        <v>12</v>
      </c>
    </row>
    <row r="31" spans="1:14" ht="14.25" customHeight="1" x14ac:dyDescent="0.2">
      <c r="A31" s="23" t="s">
        <v>60</v>
      </c>
      <c r="B31" s="14" t="s">
        <v>46</v>
      </c>
      <c r="C31" s="45" t="s">
        <v>61</v>
      </c>
      <c r="D31" s="62"/>
      <c r="E31" s="25" t="s">
        <v>28</v>
      </c>
      <c r="F31" s="41">
        <v>7492.518</v>
      </c>
      <c r="G31" s="44">
        <v>621.13699999999994</v>
      </c>
    </row>
    <row r="32" spans="1:14" ht="23.85" customHeight="1" x14ac:dyDescent="0.2">
      <c r="A32" s="70" t="s">
        <v>29</v>
      </c>
      <c r="B32" s="70"/>
      <c r="C32" s="70"/>
      <c r="D32" s="70"/>
      <c r="E32" s="70"/>
      <c r="F32" s="70"/>
      <c r="G32" s="70"/>
    </row>
    <row r="33" spans="1:7" ht="14.25" customHeight="1" x14ac:dyDescent="0.2">
      <c r="A33" s="54" t="s">
        <v>30</v>
      </c>
      <c r="B33" s="55"/>
      <c r="C33" s="55"/>
      <c r="D33" s="55"/>
      <c r="E33" s="55"/>
      <c r="F33" s="55"/>
      <c r="G33" s="56"/>
    </row>
    <row r="34" spans="1:7" ht="5.85" customHeight="1" x14ac:dyDescent="0.2">
      <c r="A34" s="57"/>
      <c r="B34" s="57"/>
      <c r="C34" s="57"/>
      <c r="D34" s="57"/>
      <c r="E34" s="57"/>
      <c r="F34" s="57"/>
      <c r="G34" s="57"/>
    </row>
    <row r="35" spans="1:7" ht="14.25" customHeight="1" x14ac:dyDescent="0.2">
      <c r="A35" s="26" t="s">
        <v>6</v>
      </c>
      <c r="B35" s="39"/>
      <c r="C35" s="10" t="s">
        <v>31</v>
      </c>
      <c r="D35" s="68"/>
      <c r="E35" s="7" t="s">
        <v>6</v>
      </c>
      <c r="F35" s="40"/>
      <c r="G35" s="12" t="s">
        <v>31</v>
      </c>
    </row>
    <row r="36" spans="1:7" ht="14.25" customHeight="1" x14ac:dyDescent="0.2">
      <c r="A36" s="31" t="s">
        <v>32</v>
      </c>
      <c r="B36" s="39"/>
      <c r="C36" s="15" t="s">
        <v>33</v>
      </c>
      <c r="D36" s="68"/>
      <c r="E36" s="32" t="s">
        <v>32</v>
      </c>
      <c r="F36" s="40"/>
      <c r="G36" s="44">
        <f>'[1]VALORES TABELA'!$B$7</f>
        <v>1.2759999999999998</v>
      </c>
    </row>
    <row r="37" spans="1:7" ht="12.95" customHeight="1" x14ac:dyDescent="0.2">
      <c r="A37" s="53"/>
      <c r="B37" s="53"/>
      <c r="C37" s="53"/>
      <c r="D37" s="53"/>
      <c r="E37" s="53"/>
      <c r="F37" s="53"/>
      <c r="G37" s="53"/>
    </row>
    <row r="38" spans="1:7" ht="14.25" customHeight="1" x14ac:dyDescent="0.2">
      <c r="A38" s="78" t="s">
        <v>66</v>
      </c>
      <c r="B38" s="79"/>
      <c r="C38" s="79"/>
      <c r="D38" s="79"/>
      <c r="E38" s="79"/>
      <c r="F38" s="79"/>
      <c r="G38" s="80"/>
    </row>
    <row r="39" spans="1:7" ht="14.25" customHeight="1" x14ac:dyDescent="0.2">
      <c r="A39" s="82" t="s">
        <v>67</v>
      </c>
      <c r="B39" s="82"/>
      <c r="C39" s="82"/>
      <c r="D39" s="82"/>
      <c r="E39" s="82"/>
      <c r="F39" s="82"/>
      <c r="G39" s="82"/>
    </row>
    <row r="40" spans="1:7" ht="14.25" customHeight="1" x14ac:dyDescent="0.2">
      <c r="A40" s="83"/>
      <c r="B40" s="83"/>
      <c r="C40" s="83"/>
      <c r="D40" s="83"/>
      <c r="E40" s="83"/>
      <c r="F40" s="83"/>
      <c r="G40" s="83"/>
    </row>
    <row r="41" spans="1:7" ht="38.25" customHeight="1" x14ac:dyDescent="0.2">
      <c r="A41" s="84"/>
      <c r="B41" s="84"/>
      <c r="C41" s="84"/>
      <c r="D41" s="84"/>
      <c r="E41" s="84"/>
      <c r="F41" s="84"/>
      <c r="G41" s="84"/>
    </row>
    <row r="42" spans="1:7" ht="12.2" customHeight="1" x14ac:dyDescent="0.2">
      <c r="A42" s="81"/>
      <c r="B42" s="81"/>
      <c r="C42" s="81"/>
      <c r="D42" s="81"/>
      <c r="E42" s="81"/>
      <c r="F42" s="81"/>
      <c r="G42" s="81"/>
    </row>
    <row r="43" spans="1:7" ht="14.25" customHeight="1" x14ac:dyDescent="0.2">
      <c r="A43" s="71" t="s">
        <v>34</v>
      </c>
      <c r="B43" s="72"/>
      <c r="C43" s="73"/>
      <c r="D43" s="62"/>
      <c r="E43" s="7" t="s">
        <v>6</v>
      </c>
      <c r="F43" s="40"/>
      <c r="G43" s="38" t="s">
        <v>35</v>
      </c>
    </row>
    <row r="44" spans="1:7" ht="14.25" customHeight="1" x14ac:dyDescent="0.2">
      <c r="A44" s="74"/>
      <c r="B44" s="59"/>
      <c r="C44" s="60"/>
      <c r="D44" s="62"/>
      <c r="E44" s="16" t="s">
        <v>36</v>
      </c>
      <c r="F44" s="16" t="s">
        <v>37</v>
      </c>
      <c r="G44" s="42">
        <f>'[1]VALORES TABELA'!$B$8</f>
        <v>9.6359999999999992</v>
      </c>
    </row>
    <row r="45" spans="1:7" ht="14.25" customHeight="1" x14ac:dyDescent="0.2">
      <c r="A45" s="75"/>
      <c r="B45" s="76"/>
      <c r="C45" s="77"/>
      <c r="D45" s="62"/>
      <c r="E45" s="16" t="s">
        <v>36</v>
      </c>
      <c r="F45" s="32" t="s">
        <v>38</v>
      </c>
      <c r="G45" s="42">
        <f>'[1]VALORES TABELA'!$B$9</f>
        <v>56.199000000000005</v>
      </c>
    </row>
    <row r="47" spans="1:7" x14ac:dyDescent="0.2">
      <c r="A47" s="46" t="s">
        <v>63</v>
      </c>
    </row>
    <row r="48" spans="1:7" x14ac:dyDescent="0.2">
      <c r="A48" s="46" t="s">
        <v>64</v>
      </c>
    </row>
  </sheetData>
  <mergeCells count="33">
    <mergeCell ref="A43:C45"/>
    <mergeCell ref="D43:D45"/>
    <mergeCell ref="A34:G34"/>
    <mergeCell ref="D35:D36"/>
    <mergeCell ref="A37:G37"/>
    <mergeCell ref="A38:G38"/>
    <mergeCell ref="A42:G42"/>
    <mergeCell ref="A39:G41"/>
    <mergeCell ref="A26:G26"/>
    <mergeCell ref="A27:G27"/>
    <mergeCell ref="D28:D31"/>
    <mergeCell ref="A32:G32"/>
    <mergeCell ref="A33:G33"/>
    <mergeCell ref="A20:G20"/>
    <mergeCell ref="A21:G21"/>
    <mergeCell ref="A22:G22"/>
    <mergeCell ref="D23:D24"/>
    <mergeCell ref="A25:G25"/>
    <mergeCell ref="D9:D12"/>
    <mergeCell ref="A13:G13"/>
    <mergeCell ref="A14:G14"/>
    <mergeCell ref="A15:G15"/>
    <mergeCell ref="D16:D19"/>
    <mergeCell ref="A5:B5"/>
    <mergeCell ref="A6:G6"/>
    <mergeCell ref="A7:G7"/>
    <mergeCell ref="A8:D8"/>
    <mergeCell ref="E8:G8"/>
    <mergeCell ref="A1:G1"/>
    <mergeCell ref="A2:G2"/>
    <mergeCell ref="A3:G3"/>
    <mergeCell ref="A4:B4"/>
    <mergeCell ref="E4:F4"/>
  </mergeCells>
  <pageMargins left="0.7" right="0.7" top="0.75" bottom="0.75" header="0.3" footer="0.3"/>
  <pageSetup paperSize="9" scale="84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smt</dc:creator>
  <cp:lastModifiedBy>vladimir martins</cp:lastModifiedBy>
  <cp:lastPrinted>2025-09-02T15:54:14Z</cp:lastPrinted>
  <dcterms:created xsi:type="dcterms:W3CDTF">2025-06-30T16:41:55Z</dcterms:created>
  <dcterms:modified xsi:type="dcterms:W3CDTF">2026-04-06T14:12:03Z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2025-05-14T00:00:00Z</vt:filetime>
  </property>
  <property fmtid="{D5CDD505-2E9C-101B-9397-08002B2CF9AE}" pid="3" name="Creator">
    <vt:lpwstr>Microsoft® Office Excel® 2007</vt:lpwstr>
  </property>
  <property fmtid="{D5CDD505-2E9C-101B-9397-08002B2CF9AE}" pid="4" name="LastSaved">
    <vt:filetime>2025-06-30T00:00:00Z</vt:filetime>
  </property>
  <property fmtid="{D5CDD505-2E9C-101B-9397-08002B2CF9AE}" pid="5" name="Producer">
    <vt:lpwstr>Microsoft® Office Excel® 2007</vt:lpwstr>
  </property>
</Properties>
</file>